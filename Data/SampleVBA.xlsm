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\Ofc\"/>
    </mc:Choice>
  </mc:AlternateContent>
  <xr:revisionPtr revIDLastSave="0" documentId="13_ncr:1_{573D325C-3779-4918-8B12-DA74471774F9}" xr6:coauthVersionLast="36" xr6:coauthVersionMax="36" xr10:uidLastSave="{00000000-0000-0000-0000-000000000000}"/>
  <bookViews>
    <workbookView xWindow="0" yWindow="0" windowWidth="38400" windowHeight="17700" xr2:uid="{4228A35C-A003-4A71-93B3-8A2AB6EAF3C6}"/>
  </bookViews>
  <sheets>
    <sheet name="Transmission" sheetId="4" r:id="rId1"/>
    <sheet name="Sheet1" sheetId="1" r:id="rId2"/>
    <sheet name="Sheet2" sheetId="2" r:id="rId3"/>
    <sheet name="Sheet3" sheetId="3" r:id="rId4"/>
  </sheets>
  <functionGroups builtInGroupCount="19"/>
  <definedNames>
    <definedName name="ID">Sheet1!$D$1:$D$25</definedName>
    <definedName name="km">Transmission!$C$4:$L$8</definedName>
    <definedName name="rndNum">Sheet2!$E$2:$E$31</definedName>
    <definedName name="score">Sheet2!$B$2:$C$31</definedName>
  </definedNames>
  <calcPr calcId="17902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4" l="1"/>
  <c r="C22" i="4"/>
  <c r="E4" i="3" l="1"/>
  <c r="E3" i="3"/>
  <c r="B3" i="3"/>
  <c r="E6" i="3" l="1"/>
  <c r="B4" i="3"/>
  <c r="E5" i="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2" i="2"/>
  <c r="I16" i="1" a="1"/>
  <c r="J16" i="1" a="1"/>
  <c r="K16" i="1" a="1"/>
  <c r="L16" i="1" a="1"/>
  <c r="H16" i="1" a="1"/>
  <c r="L17" i="1" l="1"/>
  <c r="L19" i="1"/>
  <c r="L21" i="1"/>
  <c r="L16" i="1"/>
  <c r="L18" i="1"/>
  <c r="L20" i="1"/>
  <c r="L22" i="1"/>
  <c r="K17" i="1"/>
  <c r="K19" i="1"/>
  <c r="K21" i="1"/>
  <c r="K16" i="1"/>
  <c r="K18" i="1"/>
  <c r="K20" i="1"/>
  <c r="K22" i="1"/>
  <c r="J17" i="1"/>
  <c r="J19" i="1"/>
  <c r="J21" i="1"/>
  <c r="J16" i="1"/>
  <c r="J18" i="1"/>
  <c r="J20" i="1"/>
  <c r="J22" i="1"/>
  <c r="I17" i="1"/>
  <c r="I19" i="1"/>
  <c r="I21" i="1"/>
  <c r="I16" i="1"/>
  <c r="I18" i="1"/>
  <c r="I20" i="1"/>
  <c r="I22" i="1"/>
  <c r="H17" i="1"/>
  <c r="H19" i="1"/>
  <c r="H21" i="1"/>
  <c r="H16" i="1"/>
  <c r="H18" i="1"/>
  <c r="H20" i="1"/>
  <c r="H22" i="1"/>
  <c r="F31" i="2"/>
  <c r="F29" i="2"/>
  <c r="F27" i="2"/>
  <c r="F25" i="2"/>
  <c r="F23" i="2"/>
  <c r="F21" i="2"/>
  <c r="F19" i="2"/>
  <c r="F17" i="2"/>
  <c r="F15" i="2"/>
  <c r="F13" i="2"/>
  <c r="F11" i="2"/>
  <c r="F9" i="2"/>
  <c r="F7" i="2"/>
  <c r="F5" i="2"/>
  <c r="F3" i="2"/>
  <c r="F30" i="2"/>
  <c r="F28" i="2"/>
  <c r="F26" i="2"/>
  <c r="F24" i="2"/>
  <c r="F22" i="2"/>
  <c r="F20" i="2"/>
  <c r="F18" i="2"/>
  <c r="F16" i="2"/>
  <c r="F14" i="2"/>
  <c r="F12" i="2"/>
  <c r="F10" i="2"/>
  <c r="F8" i="2"/>
  <c r="F6" i="2"/>
  <c r="F4" i="2"/>
  <c r="F2" i="2"/>
  <c r="H4" i="2" l="1"/>
  <c r="I4" i="2"/>
  <c r="H8" i="2"/>
  <c r="I8" i="2"/>
  <c r="H12" i="2"/>
  <c r="I12" i="2"/>
  <c r="H16" i="2"/>
  <c r="I16" i="2"/>
  <c r="H3" i="2"/>
  <c r="I3" i="2"/>
  <c r="H7" i="2"/>
  <c r="I7" i="2"/>
  <c r="H11" i="2"/>
  <c r="I11" i="2"/>
  <c r="H15" i="2"/>
  <c r="I15" i="2"/>
  <c r="H6" i="2"/>
  <c r="I6" i="2"/>
  <c r="H10" i="2"/>
  <c r="I10" i="2"/>
  <c r="H14" i="2"/>
  <c r="I14" i="2"/>
  <c r="H5" i="2"/>
  <c r="I5" i="2"/>
  <c r="H9" i="2"/>
  <c r="I9" i="2"/>
  <c r="H13" i="2"/>
  <c r="I13" i="2"/>
  <c r="H17" i="2"/>
  <c r="I17" i="2"/>
  <c r="H2" i="2"/>
  <c r="I2" i="2"/>
</calcChain>
</file>

<file path=xl/sharedStrings.xml><?xml version="1.0" encoding="utf-8"?>
<sst xmlns="http://schemas.openxmlformats.org/spreadsheetml/2006/main" count="39" uniqueCount="39">
  <si>
    <t>命名ID, 范围为 D1:D25</t>
  </si>
  <si>
    <t>编号</t>
  </si>
  <si>
    <t>得分</t>
  </si>
  <si>
    <t>随机数</t>
  </si>
  <si>
    <t>排序</t>
  </si>
  <si>
    <t>RANK.EQ排序</t>
  </si>
  <si>
    <t>逐行取</t>
  </si>
  <si>
    <t>每次会自动更新，不方便设置随机种子</t>
  </si>
  <si>
    <t>vba from http://www.vbaexpress.com/kb/getarticle.php?kb_id=760</t>
  </si>
  <si>
    <t>Hit Alt-F11 to enter the Visual Basic Editor</t>
  </si>
  <si>
    <t>本例子实现“整行抽样”，手工实现。给定样本容量，只抽一次</t>
  </si>
  <si>
    <t>n=7 选择 7Rx1C,ctrl+shft+enter，然后横向扩展 (如果项数少，可以不转置，n个样本结果为行，多次抽样纵向扩展)</t>
  </si>
  <si>
    <t>数据分析: 抽样 [只能手工一次一次抽]</t>
  </si>
  <si>
    <t>样本数据</t>
    <phoneticPr fontId="1" type="noConversion"/>
  </si>
  <si>
    <t>置信区间</t>
    <phoneticPr fontId="1" type="noConversion"/>
  </si>
  <si>
    <r>
      <t>样本容量</t>
    </r>
    <r>
      <rPr>
        <sz val="10"/>
        <rFont val="Times New Roman"/>
        <family val="1"/>
      </rPr>
      <t>n</t>
    </r>
  </si>
  <si>
    <t>置信度</t>
    <phoneticPr fontId="1" type="noConversion"/>
  </si>
  <si>
    <r>
      <t>样本比例</t>
    </r>
    <r>
      <rPr>
        <sz val="10"/>
        <rFont val="Times New Roman"/>
        <family val="1"/>
      </rPr>
      <t>Ps</t>
    </r>
  </si>
  <si>
    <t>=112/350</t>
    <phoneticPr fontId="1" type="noConversion"/>
  </si>
  <si>
    <r>
      <t>Z</t>
    </r>
    <r>
      <rPr>
        <sz val="11"/>
        <color theme="1"/>
        <rFont val="Calibri"/>
        <family val="2"/>
        <scheme val="minor"/>
      </rPr>
      <t>值</t>
    </r>
  </si>
  <si>
    <t>标准误差</t>
    <phoneticPr fontId="1" type="noConversion"/>
  </si>
  <si>
    <t>=SQRT((B3*(1-B3)/B2))</t>
    <phoneticPr fontId="1" type="noConversion"/>
  </si>
  <si>
    <t>标准极限误差</t>
    <phoneticPr fontId="1" type="noConversion"/>
  </si>
  <si>
    <t>=E3*B4</t>
    <phoneticPr fontId="1" type="noConversion"/>
  </si>
  <si>
    <t>置信下限</t>
    <phoneticPr fontId="1" type="noConversion"/>
  </si>
  <si>
    <t>=B3-E4</t>
    <phoneticPr fontId="1" type="noConversion"/>
  </si>
  <si>
    <t>置信上限</t>
    <phoneticPr fontId="1" type="noConversion"/>
  </si>
  <si>
    <t>=B3+E4</t>
    <phoneticPr fontId="1" type="noConversion"/>
  </si>
  <si>
    <t>=-NORM.S.INV((1-E2)/2)</t>
  </si>
  <si>
    <t>参数区间估计</t>
  </si>
  <si>
    <t>多次抽样</t>
  </si>
  <si>
    <t>从品牌 H 的汽车维修记录中随机抽取50个样本，首次传动系统出现故障时所实际行驶的里程数据如下 (单位: 公里)</t>
  </si>
  <si>
    <t>要求</t>
  </si>
  <si>
    <t>(1) 对出现传动系统故障的汽车总体，估计首次传动系统故障时实际行驶里程均值的95%的置信区间。并对该区间估计做出管理上的解释。</t>
  </si>
  <si>
    <t>(2) 公司如果希望估计的容许误差不超过5000公里，则该选取多大的样本容量？取置信水平为95%。</t>
  </si>
  <si>
    <t>(3) 为了更全面地对该传动系统问题作出评价，您还需要收集一些其他什么信息？</t>
  </si>
  <si>
    <t>样本均值</t>
  </si>
  <si>
    <t>标准差</t>
  </si>
  <si>
    <t>品牌认知度在 27%-37%之间，企业要考虑市场推广，分析原因，如广告诉求对象不对，还是目标市场有偏差，等等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</si>
</sst>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楷体_GB2312"/>
      <family val="3"/>
      <charset val="134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43" fontId="0" fillId="0" borderId="0" xfId="1" applyFont="1"/>
    <xf numFmtId="0" fontId="2" fillId="0" borderId="0" xfId="0" applyFont="1"/>
    <xf numFmtId="0" fontId="3" fillId="0" borderId="0" xfId="0" applyFont="1"/>
    <xf numFmtId="49" fontId="3" fillId="0" borderId="0" xfId="0" applyNumberFormat="1" applyFont="1"/>
    <xf numFmtId="1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2">
    <cellStyle name="千位分隔" xfId="1" builtinId="3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89889-6C9A-43F7-85C1-7E1FA50722EF}">
  <dimension ref="A3:L23"/>
  <sheetViews>
    <sheetView tabSelected="1" workbookViewId="0">
      <selection activeCell="H36" sqref="H36"/>
    </sheetView>
  </sheetViews>
  <sheetFormatPr defaultRowHeight="14.5"/>
  <sheetData>
    <row r="3" spans="1:12">
      <c r="C3" t="s">
        <v>31</v>
      </c>
    </row>
    <row r="4" spans="1:12">
      <c r="C4">
        <v>85586</v>
      </c>
      <c r="D4">
        <v>138114</v>
      </c>
      <c r="E4">
        <v>69922</v>
      </c>
      <c r="F4">
        <v>53500</v>
      </c>
      <c r="G4">
        <v>101769</v>
      </c>
      <c r="H4">
        <v>66998</v>
      </c>
      <c r="I4">
        <v>85861</v>
      </c>
      <c r="J4">
        <v>65605</v>
      </c>
      <c r="K4">
        <v>32534</v>
      </c>
      <c r="L4">
        <v>64090</v>
      </c>
    </row>
    <row r="5" spans="1:12">
      <c r="C5">
        <v>82256</v>
      </c>
      <c r="D5">
        <v>85288</v>
      </c>
      <c r="E5">
        <v>35662</v>
      </c>
      <c r="F5">
        <v>79294</v>
      </c>
      <c r="G5">
        <v>95774</v>
      </c>
      <c r="H5">
        <v>40002</v>
      </c>
      <c r="I5">
        <v>64342</v>
      </c>
      <c r="J5">
        <v>63436</v>
      </c>
      <c r="K5">
        <v>77437</v>
      </c>
      <c r="L5">
        <v>32464</v>
      </c>
    </row>
    <row r="6" spans="1:12">
      <c r="C6">
        <v>77539</v>
      </c>
      <c r="D6">
        <v>73341</v>
      </c>
      <c r="E6">
        <v>74425</v>
      </c>
      <c r="F6">
        <v>64544</v>
      </c>
      <c r="G6">
        <v>121352</v>
      </c>
      <c r="H6">
        <v>72069</v>
      </c>
      <c r="I6">
        <v>61978</v>
      </c>
      <c r="J6">
        <v>92857</v>
      </c>
      <c r="K6">
        <v>59465</v>
      </c>
      <c r="L6">
        <v>39323</v>
      </c>
    </row>
    <row r="7" spans="1:12">
      <c r="C7">
        <v>88798</v>
      </c>
      <c r="D7">
        <v>89341</v>
      </c>
      <c r="E7">
        <v>67202</v>
      </c>
      <c r="F7">
        <v>86813</v>
      </c>
      <c r="G7">
        <v>69568</v>
      </c>
      <c r="H7">
        <v>25065</v>
      </c>
      <c r="I7">
        <v>67998</v>
      </c>
      <c r="J7">
        <v>116803</v>
      </c>
      <c r="K7">
        <v>32609</v>
      </c>
      <c r="L7">
        <v>89641</v>
      </c>
    </row>
    <row r="8" spans="1:12">
      <c r="C8">
        <v>53402</v>
      </c>
      <c r="D8">
        <v>37831</v>
      </c>
      <c r="E8">
        <v>118444</v>
      </c>
      <c r="F8">
        <v>116269</v>
      </c>
      <c r="G8">
        <v>74276</v>
      </c>
      <c r="H8">
        <v>77098</v>
      </c>
      <c r="I8">
        <v>59817</v>
      </c>
      <c r="J8">
        <v>94219</v>
      </c>
      <c r="K8">
        <v>85092</v>
      </c>
      <c r="L8">
        <v>59902</v>
      </c>
    </row>
    <row r="12" spans="1:12">
      <c r="A12" t="s">
        <v>32</v>
      </c>
    </row>
    <row r="13" spans="1:12">
      <c r="B13" t="s">
        <v>33</v>
      </c>
    </row>
    <row r="14" spans="1:12">
      <c r="B14" t="s">
        <v>34</v>
      </c>
    </row>
    <row r="15" spans="1:12">
      <c r="B15" t="s">
        <v>35</v>
      </c>
    </row>
    <row r="22" spans="2:3">
      <c r="B22" t="s">
        <v>36</v>
      </c>
      <c r="C22">
        <f>AVERAGE(km)</f>
        <v>73340.3</v>
      </c>
    </row>
    <row r="23" spans="2:3">
      <c r="B23" t="s">
        <v>37</v>
      </c>
      <c r="C23">
        <f>_xlfn.STDEV.S(km)</f>
        <v>24898.727350683479</v>
      </c>
    </row>
  </sheetData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A823-3964-4F6E-B606-B790FCA82C6F}">
  <sheetPr codeName="Sheet1"/>
  <dimension ref="A1:L31"/>
  <sheetViews>
    <sheetView workbookViewId="0">
      <selection activeCell="A30" sqref="A30"/>
    </sheetView>
  </sheetViews>
  <sheetFormatPr defaultRowHeight="14.5"/>
  <sheetData>
    <row r="1" spans="4:12">
      <c r="D1">
        <v>1</v>
      </c>
      <c r="F1" t="s">
        <v>0</v>
      </c>
    </row>
    <row r="2" spans="4:12">
      <c r="D2">
        <v>2</v>
      </c>
    </row>
    <row r="3" spans="4:12">
      <c r="D3">
        <v>3</v>
      </c>
      <c r="G3" t="s">
        <v>12</v>
      </c>
    </row>
    <row r="4" spans="4:12">
      <c r="D4">
        <v>4</v>
      </c>
      <c r="G4">
        <v>17</v>
      </c>
    </row>
    <row r="5" spans="4:12">
      <c r="D5">
        <v>5</v>
      </c>
      <c r="G5">
        <v>21</v>
      </c>
    </row>
    <row r="6" spans="4:12">
      <c r="D6">
        <v>6</v>
      </c>
      <c r="G6">
        <v>7</v>
      </c>
    </row>
    <row r="7" spans="4:12">
      <c r="D7">
        <v>7</v>
      </c>
      <c r="G7">
        <v>8</v>
      </c>
    </row>
    <row r="8" spans="4:12">
      <c r="D8">
        <v>8</v>
      </c>
      <c r="G8">
        <v>9</v>
      </c>
    </row>
    <row r="9" spans="4:12">
      <c r="D9">
        <v>9</v>
      </c>
      <c r="G9">
        <v>4</v>
      </c>
    </row>
    <row r="10" spans="4:12">
      <c r="D10">
        <v>10</v>
      </c>
      <c r="G10">
        <v>19</v>
      </c>
    </row>
    <row r="11" spans="4:12">
      <c r="D11">
        <v>11</v>
      </c>
    </row>
    <row r="12" spans="4:12">
      <c r="D12">
        <v>12</v>
      </c>
    </row>
    <row r="13" spans="4:12">
      <c r="D13">
        <v>13</v>
      </c>
    </row>
    <row r="14" spans="4:12">
      <c r="D14">
        <v>14</v>
      </c>
    </row>
    <row r="15" spans="4:12">
      <c r="D15">
        <v>15</v>
      </c>
      <c r="G15" t="s">
        <v>11</v>
      </c>
    </row>
    <row r="16" spans="4:12">
      <c r="D16">
        <v>16</v>
      </c>
      <c r="H16">
        <f t="array" ref="H16:H22">TRANSPOSE(_xll.SAMPLE(ID,7))</f>
        <v>6</v>
      </c>
      <c r="I16">
        <f t="array" ref="I16:I22">TRANSPOSE(_xll.SAMPLE(ID,7))</f>
        <v>20</v>
      </c>
      <c r="J16">
        <f t="array" ref="J16:J22">TRANSPOSE(_xll.SAMPLE(ID,7))</f>
        <v>12</v>
      </c>
      <c r="K16">
        <f t="array" ref="K16:K22">TRANSPOSE(_xll.SAMPLE(ID,7))</f>
        <v>20</v>
      </c>
      <c r="L16">
        <f t="array" ref="L16:L22">TRANSPOSE(_xll.SAMPLE(ID,7))</f>
        <v>15</v>
      </c>
    </row>
    <row r="17" spans="1:12">
      <c r="D17">
        <v>17</v>
      </c>
      <c r="H17">
        <v>19</v>
      </c>
      <c r="I17">
        <v>9</v>
      </c>
      <c r="J17">
        <v>1</v>
      </c>
      <c r="K17">
        <v>6</v>
      </c>
      <c r="L17">
        <v>19</v>
      </c>
    </row>
    <row r="18" spans="1:12">
      <c r="D18">
        <v>18</v>
      </c>
      <c r="H18">
        <v>11</v>
      </c>
      <c r="I18">
        <v>22</v>
      </c>
      <c r="J18">
        <v>6</v>
      </c>
      <c r="K18">
        <v>23</v>
      </c>
      <c r="L18">
        <v>18</v>
      </c>
    </row>
    <row r="19" spans="1:12">
      <c r="D19">
        <v>19</v>
      </c>
      <c r="H19">
        <v>25</v>
      </c>
      <c r="I19">
        <v>23</v>
      </c>
      <c r="J19">
        <v>8</v>
      </c>
      <c r="K19">
        <v>15</v>
      </c>
      <c r="L19">
        <v>24</v>
      </c>
    </row>
    <row r="20" spans="1:12">
      <c r="D20">
        <v>20</v>
      </c>
      <c r="H20">
        <v>3</v>
      </c>
      <c r="I20">
        <v>7</v>
      </c>
      <c r="J20">
        <v>15</v>
      </c>
      <c r="K20">
        <v>10</v>
      </c>
      <c r="L20">
        <v>11</v>
      </c>
    </row>
    <row r="21" spans="1:12">
      <c r="D21">
        <v>21</v>
      </c>
      <c r="H21">
        <v>5</v>
      </c>
      <c r="I21">
        <v>5</v>
      </c>
      <c r="J21">
        <v>2</v>
      </c>
      <c r="K21">
        <v>5</v>
      </c>
      <c r="L21">
        <v>23</v>
      </c>
    </row>
    <row r="22" spans="1:12">
      <c r="D22">
        <v>22</v>
      </c>
      <c r="H22">
        <v>22</v>
      </c>
      <c r="I22">
        <v>1</v>
      </c>
      <c r="J22">
        <v>7</v>
      </c>
      <c r="K22">
        <v>9</v>
      </c>
      <c r="L22">
        <v>13</v>
      </c>
    </row>
    <row r="23" spans="1:12">
      <c r="D23">
        <v>23</v>
      </c>
    </row>
    <row r="24" spans="1:12">
      <c r="D24">
        <v>24</v>
      </c>
    </row>
    <row r="25" spans="1:12">
      <c r="D25">
        <v>25</v>
      </c>
    </row>
    <row r="29" spans="1:12">
      <c r="A29" t="s">
        <v>30</v>
      </c>
    </row>
    <row r="30" spans="1:12">
      <c r="A30" t="s">
        <v>8</v>
      </c>
    </row>
    <row r="31" spans="1:12">
      <c r="A31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2E58C-A475-47E7-B756-020D738FD38F}">
  <sheetPr codeName="Sheet2"/>
  <dimension ref="A1:I36"/>
  <sheetViews>
    <sheetView workbookViewId="0">
      <selection activeCell="F32" sqref="F32"/>
    </sheetView>
  </sheetViews>
  <sheetFormatPr defaultRowHeight="14.5"/>
  <sheetData>
    <row r="1" spans="2:9">
      <c r="B1" t="s">
        <v>1</v>
      </c>
      <c r="C1" t="s">
        <v>2</v>
      </c>
      <c r="E1" t="s">
        <v>3</v>
      </c>
      <c r="F1" t="s">
        <v>4</v>
      </c>
      <c r="H1" t="s">
        <v>6</v>
      </c>
    </row>
    <row r="2" spans="2:9">
      <c r="B2">
        <v>111</v>
      </c>
      <c r="C2" s="1">
        <v>77.64</v>
      </c>
      <c r="E2">
        <f ca="1">RAND()</f>
        <v>0.73275035392392784</v>
      </c>
      <c r="F2">
        <f t="shared" ref="F2:F31" ca="1" si="0">_xlfn.RANK.EQ(E2,rndNum)</f>
        <v>9</v>
      </c>
      <c r="H2">
        <f t="shared" ref="H2:H17" ca="1" si="1">INDEX(score,$F2,1)</f>
        <v>119</v>
      </c>
      <c r="I2">
        <f t="shared" ref="I2:I17" ca="1" si="2">INDEX(score,$F2,2)</f>
        <v>71.59</v>
      </c>
    </row>
    <row r="3" spans="2:9">
      <c r="B3">
        <v>112</v>
      </c>
      <c r="C3" s="1">
        <v>68.98</v>
      </c>
      <c r="E3">
        <f t="shared" ref="E3:E31" ca="1" si="3">RAND()</f>
        <v>9.3867234746474182E-2</v>
      </c>
      <c r="F3">
        <f t="shared" ca="1" si="0"/>
        <v>26</v>
      </c>
      <c r="H3">
        <f t="shared" ca="1" si="1"/>
        <v>136</v>
      </c>
      <c r="I3">
        <f t="shared" ca="1" si="2"/>
        <v>66.849999999999994</v>
      </c>
    </row>
    <row r="4" spans="2:9">
      <c r="B4">
        <v>113</v>
      </c>
      <c r="C4" s="1">
        <v>52.73</v>
      </c>
      <c r="E4">
        <f t="shared" ca="1" si="3"/>
        <v>0.88899017945069958</v>
      </c>
      <c r="F4">
        <f t="shared" ca="1" si="0"/>
        <v>5</v>
      </c>
      <c r="H4">
        <f t="shared" ca="1" si="1"/>
        <v>115</v>
      </c>
      <c r="I4">
        <f t="shared" ca="1" si="2"/>
        <v>70.84</v>
      </c>
    </row>
    <row r="5" spans="2:9">
      <c r="B5">
        <v>114</v>
      </c>
      <c r="C5" s="1">
        <v>91.22</v>
      </c>
      <c r="E5">
        <f t="shared" ca="1" si="3"/>
        <v>0.38875554118419509</v>
      </c>
      <c r="F5">
        <f t="shared" ca="1" si="0"/>
        <v>18</v>
      </c>
      <c r="H5">
        <f t="shared" ca="1" si="1"/>
        <v>128</v>
      </c>
      <c r="I5">
        <f t="shared" ca="1" si="2"/>
        <v>63.81</v>
      </c>
    </row>
    <row r="6" spans="2:9">
      <c r="B6">
        <v>115</v>
      </c>
      <c r="C6" s="1">
        <v>70.84</v>
      </c>
      <c r="E6">
        <f t="shared" ca="1" si="3"/>
        <v>0.96457922946130081</v>
      </c>
      <c r="F6">
        <f t="shared" ca="1" si="0"/>
        <v>1</v>
      </c>
      <c r="H6">
        <f t="shared" ca="1" si="1"/>
        <v>111</v>
      </c>
      <c r="I6">
        <f t="shared" ca="1" si="2"/>
        <v>77.64</v>
      </c>
    </row>
    <row r="7" spans="2:9">
      <c r="B7">
        <v>116</v>
      </c>
      <c r="C7" s="1">
        <v>57.23</v>
      </c>
      <c r="E7">
        <f t="shared" ca="1" si="3"/>
        <v>8.5676888453043221E-2</v>
      </c>
      <c r="F7">
        <f t="shared" ca="1" si="0"/>
        <v>27</v>
      </c>
      <c r="H7">
        <f t="shared" ca="1" si="1"/>
        <v>137</v>
      </c>
      <c r="I7">
        <f t="shared" ca="1" si="2"/>
        <v>78.98</v>
      </c>
    </row>
    <row r="8" spans="2:9">
      <c r="B8">
        <v>117</v>
      </c>
      <c r="C8" s="1">
        <v>46.82</v>
      </c>
      <c r="E8">
        <f t="shared" ca="1" si="3"/>
        <v>0.60492283242273259</v>
      </c>
      <c r="F8">
        <f t="shared" ca="1" si="0"/>
        <v>10</v>
      </c>
      <c r="H8">
        <f t="shared" ca="1" si="1"/>
        <v>120</v>
      </c>
      <c r="I8">
        <f t="shared" ca="1" si="2"/>
        <v>70.81</v>
      </c>
    </row>
    <row r="9" spans="2:9">
      <c r="B9">
        <v>118</v>
      </c>
      <c r="C9" s="1">
        <v>56.07</v>
      </c>
      <c r="E9">
        <f t="shared" ca="1" si="3"/>
        <v>0.25885310775267856</v>
      </c>
      <c r="F9">
        <f t="shared" ca="1" si="0"/>
        <v>20</v>
      </c>
      <c r="H9">
        <f t="shared" ca="1" si="1"/>
        <v>130</v>
      </c>
      <c r="I9">
        <f t="shared" ca="1" si="2"/>
        <v>68.53</v>
      </c>
    </row>
    <row r="10" spans="2:9">
      <c r="B10">
        <v>119</v>
      </c>
      <c r="C10" s="1">
        <v>71.59</v>
      </c>
      <c r="E10">
        <f t="shared" ca="1" si="3"/>
        <v>0.12521374657234607</v>
      </c>
      <c r="F10">
        <f t="shared" ca="1" si="0"/>
        <v>25</v>
      </c>
      <c r="H10">
        <f t="shared" ca="1" si="1"/>
        <v>135</v>
      </c>
      <c r="I10">
        <f t="shared" ca="1" si="2"/>
        <v>61.01</v>
      </c>
    </row>
    <row r="11" spans="2:9">
      <c r="B11">
        <v>120</v>
      </c>
      <c r="C11" s="1">
        <v>70.81</v>
      </c>
      <c r="E11">
        <f t="shared" ca="1" si="3"/>
        <v>0.55827904880911361</v>
      </c>
      <c r="F11">
        <f t="shared" ca="1" si="0"/>
        <v>13</v>
      </c>
      <c r="H11">
        <f t="shared" ca="1" si="1"/>
        <v>123</v>
      </c>
      <c r="I11">
        <f t="shared" ca="1" si="2"/>
        <v>62.27</v>
      </c>
    </row>
    <row r="12" spans="2:9">
      <c r="B12">
        <v>121</v>
      </c>
      <c r="C12" s="1">
        <v>64.94</v>
      </c>
      <c r="E12">
        <f t="shared" ca="1" si="3"/>
        <v>0.53025145375591232</v>
      </c>
      <c r="F12">
        <f t="shared" ca="1" si="0"/>
        <v>14</v>
      </c>
      <c r="H12">
        <f t="shared" ca="1" si="1"/>
        <v>124</v>
      </c>
      <c r="I12">
        <f t="shared" ca="1" si="2"/>
        <v>79.98</v>
      </c>
    </row>
    <row r="13" spans="2:9">
      <c r="B13">
        <v>122</v>
      </c>
      <c r="C13" s="1">
        <v>76.739999999999995</v>
      </c>
      <c r="E13">
        <f t="shared" ca="1" si="3"/>
        <v>0.51543786375156875</v>
      </c>
      <c r="F13">
        <f t="shared" ca="1" si="0"/>
        <v>15</v>
      </c>
      <c r="H13">
        <f t="shared" ca="1" si="1"/>
        <v>125</v>
      </c>
      <c r="I13">
        <f t="shared" ca="1" si="2"/>
        <v>64.709999999999994</v>
      </c>
    </row>
    <row r="14" spans="2:9">
      <c r="B14">
        <v>123</v>
      </c>
      <c r="C14" s="1">
        <v>62.27</v>
      </c>
      <c r="E14">
        <f t="shared" ca="1" si="3"/>
        <v>0.95552514917716525</v>
      </c>
      <c r="F14">
        <f t="shared" ca="1" si="0"/>
        <v>2</v>
      </c>
      <c r="H14">
        <f t="shared" ca="1" si="1"/>
        <v>112</v>
      </c>
      <c r="I14">
        <f t="shared" ca="1" si="2"/>
        <v>68.98</v>
      </c>
    </row>
    <row r="15" spans="2:9">
      <c r="B15">
        <v>124</v>
      </c>
      <c r="C15" s="1">
        <v>79.98</v>
      </c>
      <c r="E15">
        <f t="shared" ca="1" si="3"/>
        <v>8.2400858939377875E-2</v>
      </c>
      <c r="F15">
        <f t="shared" ca="1" si="0"/>
        <v>28</v>
      </c>
      <c r="H15">
        <f t="shared" ca="1" si="1"/>
        <v>138</v>
      </c>
      <c r="I15">
        <f t="shared" ca="1" si="2"/>
        <v>98.55</v>
      </c>
    </row>
    <row r="16" spans="2:9">
      <c r="B16">
        <v>125</v>
      </c>
      <c r="C16" s="1">
        <v>64.709999999999994</v>
      </c>
      <c r="E16">
        <f t="shared" ca="1" si="3"/>
        <v>0.76521739760276908</v>
      </c>
      <c r="F16">
        <f t="shared" ca="1" si="0"/>
        <v>8</v>
      </c>
      <c r="H16">
        <f t="shared" ca="1" si="1"/>
        <v>118</v>
      </c>
      <c r="I16">
        <f t="shared" ca="1" si="2"/>
        <v>56.07</v>
      </c>
    </row>
    <row r="17" spans="2:9">
      <c r="B17">
        <v>126</v>
      </c>
      <c r="C17" s="1">
        <v>63.3</v>
      </c>
      <c r="E17">
        <f t="shared" ca="1" si="3"/>
        <v>0.94684221474312535</v>
      </c>
      <c r="F17">
        <f t="shared" ca="1" si="0"/>
        <v>3</v>
      </c>
      <c r="H17">
        <f t="shared" ca="1" si="1"/>
        <v>113</v>
      </c>
      <c r="I17">
        <f t="shared" ca="1" si="2"/>
        <v>52.73</v>
      </c>
    </row>
    <row r="18" spans="2:9">
      <c r="B18">
        <v>127</v>
      </c>
      <c r="C18" s="1">
        <v>95.41</v>
      </c>
      <c r="E18">
        <f t="shared" ca="1" si="3"/>
        <v>0.17917877593253395</v>
      </c>
      <c r="F18">
        <f t="shared" ca="1" si="0"/>
        <v>23</v>
      </c>
    </row>
    <row r="19" spans="2:9">
      <c r="B19">
        <v>128</v>
      </c>
      <c r="C19" s="1">
        <v>63.81</v>
      </c>
      <c r="E19">
        <f t="shared" ca="1" si="3"/>
        <v>0.12919666654740503</v>
      </c>
      <c r="F19">
        <f t="shared" ca="1" si="0"/>
        <v>24</v>
      </c>
    </row>
    <row r="20" spans="2:9">
      <c r="B20">
        <v>129</v>
      </c>
      <c r="C20" s="1">
        <v>64.239999999999995</v>
      </c>
      <c r="E20">
        <f t="shared" ca="1" si="3"/>
        <v>0.80000548727754939</v>
      </c>
      <c r="F20">
        <f t="shared" ca="1" si="0"/>
        <v>7</v>
      </c>
    </row>
    <row r="21" spans="2:9">
      <c r="B21">
        <v>130</v>
      </c>
      <c r="C21" s="1">
        <v>68.53</v>
      </c>
      <c r="E21">
        <f t="shared" ca="1" si="3"/>
        <v>0.89596243234251127</v>
      </c>
      <c r="F21">
        <f t="shared" ca="1" si="0"/>
        <v>4</v>
      </c>
    </row>
    <row r="22" spans="2:9">
      <c r="B22">
        <v>131</v>
      </c>
      <c r="C22" s="1">
        <v>54.52</v>
      </c>
      <c r="E22">
        <f t="shared" ca="1" si="3"/>
        <v>7.3897830393825248E-2</v>
      </c>
      <c r="F22">
        <f t="shared" ca="1" si="0"/>
        <v>29</v>
      </c>
    </row>
    <row r="23" spans="2:9">
      <c r="B23">
        <v>132</v>
      </c>
      <c r="C23" s="1">
        <v>96.7</v>
      </c>
      <c r="E23">
        <f t="shared" ca="1" si="3"/>
        <v>0.51083162172891738</v>
      </c>
      <c r="F23">
        <f t="shared" ca="1" si="0"/>
        <v>16</v>
      </c>
    </row>
    <row r="24" spans="2:9">
      <c r="B24">
        <v>133</v>
      </c>
      <c r="C24" s="1">
        <v>57.41</v>
      </c>
      <c r="E24">
        <f t="shared" ca="1" si="3"/>
        <v>5.8401627125524547E-2</v>
      </c>
      <c r="F24">
        <f t="shared" ca="1" si="0"/>
        <v>30</v>
      </c>
    </row>
    <row r="25" spans="2:9">
      <c r="B25">
        <v>134</v>
      </c>
      <c r="C25" s="1">
        <v>72.69</v>
      </c>
      <c r="E25">
        <f t="shared" ca="1" si="3"/>
        <v>0.84861003724452255</v>
      </c>
      <c r="F25">
        <f t="shared" ca="1" si="0"/>
        <v>6</v>
      </c>
    </row>
    <row r="26" spans="2:9">
      <c r="B26">
        <v>135</v>
      </c>
      <c r="C26" s="1">
        <v>61.01</v>
      </c>
      <c r="E26">
        <f t="shared" ca="1" si="3"/>
        <v>0.39673497431223648</v>
      </c>
      <c r="F26">
        <f t="shared" ca="1" si="0"/>
        <v>17</v>
      </c>
    </row>
    <row r="27" spans="2:9">
      <c r="B27">
        <v>136</v>
      </c>
      <c r="C27" s="1">
        <v>66.849999999999994</v>
      </c>
      <c r="E27">
        <f t="shared" ca="1" si="3"/>
        <v>0.38003381259080959</v>
      </c>
      <c r="F27">
        <f t="shared" ca="1" si="0"/>
        <v>19</v>
      </c>
    </row>
    <row r="28" spans="2:9">
      <c r="B28">
        <v>137</v>
      </c>
      <c r="C28" s="1">
        <v>78.98</v>
      </c>
      <c r="E28">
        <f t="shared" ca="1" si="3"/>
        <v>0.23895603408575639</v>
      </c>
      <c r="F28">
        <f t="shared" ca="1" si="0"/>
        <v>21</v>
      </c>
    </row>
    <row r="29" spans="2:9">
      <c r="B29">
        <v>138</v>
      </c>
      <c r="C29" s="1">
        <v>98.55</v>
      </c>
      <c r="E29">
        <f t="shared" ca="1" si="3"/>
        <v>0.57956479512429226</v>
      </c>
      <c r="F29">
        <f t="shared" ca="1" si="0"/>
        <v>12</v>
      </c>
    </row>
    <row r="30" spans="2:9">
      <c r="B30">
        <v>139</v>
      </c>
      <c r="C30" s="1">
        <v>91.85</v>
      </c>
      <c r="E30">
        <f t="shared" ca="1" si="3"/>
        <v>0.59193206899762207</v>
      </c>
      <c r="F30">
        <f t="shared" ca="1" si="0"/>
        <v>11</v>
      </c>
    </row>
    <row r="31" spans="2:9">
      <c r="B31">
        <v>140</v>
      </c>
      <c r="C31" s="1">
        <v>78.790000000000006</v>
      </c>
      <c r="E31">
        <f t="shared" ca="1" si="3"/>
        <v>0.19731484834072766</v>
      </c>
      <c r="F31">
        <f t="shared" ca="1" si="0"/>
        <v>22</v>
      </c>
    </row>
    <row r="32" spans="2:9">
      <c r="F32" t="s">
        <v>5</v>
      </c>
    </row>
    <row r="34" spans="1:1">
      <c r="A34" t="s">
        <v>7</v>
      </c>
    </row>
    <row r="36" spans="1:1">
      <c r="A36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FB95C-9F8F-4509-8C53-C42F5BBC5759}">
  <dimension ref="A1:F13"/>
  <sheetViews>
    <sheetView workbookViewId="0">
      <selection activeCell="B14" sqref="B14"/>
    </sheetView>
  </sheetViews>
  <sheetFormatPr defaultRowHeight="14.5"/>
  <cols>
    <col min="1" max="1" width="10.54296875" bestFit="1" customWidth="1"/>
    <col min="3" max="3" width="19.54296875" bestFit="1" customWidth="1"/>
    <col min="4" max="4" width="12.90625" bestFit="1" customWidth="1"/>
    <col min="5" max="5" width="11.81640625" bestFit="1" customWidth="1"/>
    <col min="6" max="6" width="21.90625" bestFit="1" customWidth="1"/>
  </cols>
  <sheetData>
    <row r="1" spans="1:6" ht="16">
      <c r="A1" s="2" t="s">
        <v>13</v>
      </c>
      <c r="B1" s="2"/>
      <c r="C1" s="2"/>
      <c r="D1" s="2" t="s">
        <v>14</v>
      </c>
    </row>
    <row r="2" spans="1:6">
      <c r="A2" t="s">
        <v>15</v>
      </c>
      <c r="B2" s="5">
        <v>350</v>
      </c>
      <c r="D2" t="s">
        <v>16</v>
      </c>
      <c r="E2" s="6">
        <v>0.95</v>
      </c>
    </row>
    <row r="3" spans="1:6">
      <c r="A3" t="s">
        <v>17</v>
      </c>
      <c r="B3" s="7">
        <f>112/350</f>
        <v>0.32</v>
      </c>
      <c r="C3" s="4" t="s">
        <v>18</v>
      </c>
      <c r="D3" s="3" t="s">
        <v>19</v>
      </c>
      <c r="E3" s="7">
        <f>-_xlfn.NORM.S.INV((1-E2)/2)</f>
        <v>1.9599639845400536</v>
      </c>
      <c r="F3" s="4" t="s">
        <v>28</v>
      </c>
    </row>
    <row r="4" spans="1:6">
      <c r="A4" t="s">
        <v>20</v>
      </c>
      <c r="B4" s="7">
        <f>SQRT((B3*(1-B3)/B2))</f>
        <v>2.4934199119167347E-2</v>
      </c>
      <c r="C4" s="4" t="s">
        <v>21</v>
      </c>
      <c r="D4" t="s">
        <v>22</v>
      </c>
      <c r="E4" s="7">
        <f>E3*B4</f>
        <v>4.8870132256918331E-2</v>
      </c>
      <c r="F4" s="4" t="s">
        <v>23</v>
      </c>
    </row>
    <row r="5" spans="1:6">
      <c r="D5" t="s">
        <v>24</v>
      </c>
      <c r="E5" s="7">
        <f>B3-E4</f>
        <v>0.27112986774308168</v>
      </c>
      <c r="F5" s="4" t="s">
        <v>25</v>
      </c>
    </row>
    <row r="6" spans="1:6">
      <c r="D6" t="s">
        <v>26</v>
      </c>
      <c r="E6" s="7">
        <f>B3+E4</f>
        <v>0.36887013225691834</v>
      </c>
      <c r="F6" s="4" t="s">
        <v>27</v>
      </c>
    </row>
    <row r="12" spans="1:6">
      <c r="A12" t="s">
        <v>29</v>
      </c>
    </row>
    <row r="13" spans="1:6">
      <c r="B13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Transmission</vt:lpstr>
      <vt:lpstr>Sheet1</vt:lpstr>
      <vt:lpstr>Sheet2</vt:lpstr>
      <vt:lpstr>Sheet3</vt:lpstr>
      <vt:lpstr>ID</vt:lpstr>
      <vt:lpstr>km</vt:lpstr>
      <vt:lpstr>rndNum</vt:lpstr>
      <vt:lpstr>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ChenDT</dc:creator>
  <cp:lastModifiedBy>ChenDT</cp:lastModifiedBy>
  <dcterms:created xsi:type="dcterms:W3CDTF">2021-04-09T08:42:03Z</dcterms:created>
  <dcterms:modified xsi:type="dcterms:W3CDTF">2021-04-10T00:52:12Z</dcterms:modified>
</cp:coreProperties>
</file>